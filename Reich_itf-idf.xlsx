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chm\Downloads\"/>
    </mc:Choice>
  </mc:AlternateContent>
  <xr:revisionPtr revIDLastSave="0" documentId="8_{324FBF81-9FA8-40F6-B06D-CEBCA4D187A3}" xr6:coauthVersionLast="47" xr6:coauthVersionMax="47" xr10:uidLastSave="{00000000-0000-0000-0000-000000000000}"/>
  <bookViews>
    <workbookView xWindow="-120" yWindow="-120" windowWidth="29040" windowHeight="17520" xr2:uid="{F4B500FA-D094-4CD6-AE4A-EE44DE82995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F23" i="1"/>
  <c r="F22" i="1"/>
  <c r="F21" i="1"/>
  <c r="F20" i="1"/>
  <c r="F19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2" i="1"/>
  <c r="B25" i="1"/>
  <c r="W9" i="1"/>
  <c r="W15" i="1"/>
  <c r="W16" i="1"/>
  <c r="W1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2" i="1"/>
  <c r="B24" i="1"/>
  <c r="T3" i="1"/>
  <c r="T6" i="1"/>
  <c r="T8" i="1"/>
  <c r="T14" i="1"/>
  <c r="T1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2" i="1"/>
  <c r="B23" i="1"/>
  <c r="Q3" i="1"/>
  <c r="Q11" i="1"/>
  <c r="Q12" i="1"/>
  <c r="Q13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B22" i="1"/>
  <c r="N3" i="1"/>
  <c r="N6" i="1"/>
  <c r="N8" i="1"/>
  <c r="N9" i="1"/>
  <c r="N1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B21" i="1"/>
  <c r="K3" i="1"/>
  <c r="K4" i="1"/>
  <c r="K5" i="1"/>
  <c r="K6" i="1"/>
  <c r="K7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F10" i="1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2" i="1"/>
  <c r="B20" i="1"/>
  <c r="B19" i="1"/>
  <c r="C3" i="1"/>
  <c r="H3" i="1" s="1"/>
  <c r="C4" i="1"/>
  <c r="C5" i="1"/>
  <c r="C6" i="1"/>
  <c r="C7" i="1"/>
  <c r="C8" i="1"/>
  <c r="C9" i="1"/>
  <c r="C10" i="1"/>
  <c r="E10" i="1" s="1"/>
  <c r="C11" i="1"/>
  <c r="C12" i="1"/>
  <c r="C13" i="1"/>
  <c r="C14" i="1"/>
  <c r="C15" i="1"/>
  <c r="C16" i="1"/>
  <c r="C17" i="1"/>
  <c r="C2" i="1"/>
  <c r="E2" i="1" s="1"/>
  <c r="H2" i="1" l="1"/>
  <c r="E3" i="1"/>
</calcChain>
</file>

<file path=xl/sharedStrings.xml><?xml version="1.0" encoding="utf-8"?>
<sst xmlns="http://schemas.openxmlformats.org/spreadsheetml/2006/main" count="57" uniqueCount="50">
  <si>
    <t>Termín</t>
  </si>
  <si>
    <t>df</t>
  </si>
  <si>
    <t>tropical</t>
  </si>
  <si>
    <t>fish</t>
  </si>
  <si>
    <t>include</t>
  </si>
  <si>
    <t>found</t>
  </si>
  <si>
    <t>environments</t>
  </si>
  <si>
    <t>live</t>
  </si>
  <si>
    <t>sea</t>
  </si>
  <si>
    <t>popular</t>
  </si>
  <si>
    <t>aquarium</t>
  </si>
  <si>
    <t>country</t>
  </si>
  <si>
    <t>idf</t>
  </si>
  <si>
    <t>in</t>
  </si>
  <si>
    <t>a</t>
  </si>
  <si>
    <t>are</t>
  </si>
  <si>
    <t>also</t>
  </si>
  <si>
    <t>Czechia</t>
  </si>
  <si>
    <t>is</t>
  </si>
  <si>
    <t>q1 tf</t>
  </si>
  <si>
    <t>q1 tf-idf</t>
  </si>
  <si>
    <t>q2 tf</t>
  </si>
  <si>
    <t>q2 tf-idf</t>
  </si>
  <si>
    <t>d1 tf</t>
  </si>
  <si>
    <t>d2 tf</t>
  </si>
  <si>
    <t>d3 tf</t>
  </si>
  <si>
    <t>d4 tf</t>
  </si>
  <si>
    <t>d5 tf</t>
  </si>
  <si>
    <t>q1 norm</t>
  </si>
  <si>
    <t>q2 norm</t>
  </si>
  <si>
    <t>d1 tf-idf</t>
  </si>
  <si>
    <t>d2 norm</t>
  </si>
  <si>
    <t>d1 norm</t>
  </si>
  <si>
    <t>d2 tf-idf</t>
  </si>
  <si>
    <t>d3 tf-idf</t>
  </si>
  <si>
    <t>d3 norm</t>
  </si>
  <si>
    <t>d4 tf-idf</t>
  </si>
  <si>
    <t>d4 norm</t>
  </si>
  <si>
    <t>d5 tf-idf</t>
  </si>
  <si>
    <t>d5 norm</t>
  </si>
  <si>
    <t>cos(q1, d1)</t>
  </si>
  <si>
    <t>cos(q1, d2)</t>
  </si>
  <si>
    <t>cos(q1, d3)</t>
  </si>
  <si>
    <t>cos(q1, d4)</t>
  </si>
  <si>
    <t>cos(q1, d5)</t>
  </si>
  <si>
    <t>cos(q2, d1)</t>
  </si>
  <si>
    <t>cos(q2, d2)</t>
  </si>
  <si>
    <t>cos(q2, d3)</t>
  </si>
  <si>
    <t>cos(q2, d4)</t>
  </si>
  <si>
    <t>cos(q2, d5)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</si>
</sst>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5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Fill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75" fontId="1" fillId="0" borderId="1" xfId="0" applyNumberFormat="1" applyFont="1" applyBorder="1" applyAlignment="1">
      <alignment vertical="center" wrapText="1" readingOrder="1"/>
    </xf>
    <xf numFmtId="0" fontId="1" fillId="0" borderId="1" xfId="0" applyFont="1" applyFill="1" applyBorder="1" applyAlignment="1">
      <alignment horizontal="left" vertical="center" wrapText="1" indent="1" readingOrder="1"/>
    </xf>
    <xf numFmtId="175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2" fillId="0" borderId="0" xfId="0" applyFont="1" applyFill="1" applyBorder="1" applyAlignment="1">
      <alignment horizontal="left" vertical="center" wrapText="1" indent="1" readingOrder="1"/>
    </xf>
    <xf numFmtId="175" fontId="0" fillId="0" borderId="0" xfId="0" applyNumberForma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50D1-4F2A-48D8-95B2-6BBA38F4B74C}">
  <dimension ref="A1:X25"/>
  <sheetViews>
    <sheetView tabSelected="1" workbookViewId="0">
      <selection activeCell="L23" sqref="L23"/>
    </sheetView>
  </sheetViews>
  <sheetFormatPr defaultRowHeight="15" x14ac:dyDescent="0.25"/>
  <cols>
    <col min="1" max="1" width="20" customWidth="1"/>
    <col min="3" max="3" width="14" customWidth="1"/>
    <col min="4" max="4" width="7.140625" customWidth="1"/>
    <col min="5" max="5" width="11.28515625" customWidth="1"/>
    <col min="6" max="6" width="12.140625" customWidth="1"/>
    <col min="7" max="7" width="12.5703125" customWidth="1"/>
    <col min="8" max="8" width="9.140625" customWidth="1"/>
    <col min="10" max="10" width="13.5703125" customWidth="1"/>
    <col min="11" max="11" width="11.28515625" customWidth="1"/>
    <col min="12" max="12" width="16.28515625" customWidth="1"/>
  </cols>
  <sheetData>
    <row r="1" spans="1:24" ht="30" x14ac:dyDescent="0.25">
      <c r="A1" s="2" t="s">
        <v>0</v>
      </c>
      <c r="B1" s="2" t="s">
        <v>1</v>
      </c>
      <c r="C1" s="3" t="s">
        <v>12</v>
      </c>
      <c r="D1" s="4" t="s">
        <v>19</v>
      </c>
      <c r="E1" s="4" t="s">
        <v>20</v>
      </c>
      <c r="F1" s="4" t="s">
        <v>28</v>
      </c>
      <c r="G1" s="4" t="s">
        <v>21</v>
      </c>
      <c r="H1" s="4" t="s">
        <v>22</v>
      </c>
      <c r="I1" s="4" t="s">
        <v>29</v>
      </c>
      <c r="J1" s="2" t="s">
        <v>23</v>
      </c>
      <c r="K1" s="4" t="s">
        <v>30</v>
      </c>
      <c r="L1" s="4" t="s">
        <v>32</v>
      </c>
      <c r="M1" s="2" t="s">
        <v>24</v>
      </c>
      <c r="N1" s="4" t="s">
        <v>33</v>
      </c>
      <c r="O1" s="4" t="s">
        <v>31</v>
      </c>
      <c r="P1" s="2" t="s">
        <v>25</v>
      </c>
      <c r="Q1" s="4" t="s">
        <v>34</v>
      </c>
      <c r="R1" s="4" t="s">
        <v>35</v>
      </c>
      <c r="S1" s="2" t="s">
        <v>26</v>
      </c>
      <c r="T1" s="4" t="s">
        <v>36</v>
      </c>
      <c r="U1" s="4" t="s">
        <v>37</v>
      </c>
      <c r="V1" s="2" t="s">
        <v>27</v>
      </c>
      <c r="W1" s="4" t="s">
        <v>38</v>
      </c>
      <c r="X1" s="4" t="s">
        <v>39</v>
      </c>
    </row>
    <row r="2" spans="1:24" x14ac:dyDescent="0.25">
      <c r="A2" s="2" t="s">
        <v>2</v>
      </c>
      <c r="B2" s="5">
        <v>2</v>
      </c>
      <c r="C2" s="6">
        <f>ABS(LOG10(B2/5))</f>
        <v>0.3979400086720376</v>
      </c>
      <c r="D2" s="7">
        <v>1</v>
      </c>
      <c r="E2" s="8">
        <f>C2*(1+LOG10(D2))</f>
        <v>0.3979400086720376</v>
      </c>
      <c r="F2" s="8">
        <f>E2/$B$19</f>
        <v>0.49120652880922228</v>
      </c>
      <c r="G2" s="7">
        <v>1</v>
      </c>
      <c r="H2" s="8">
        <f>C2*(1+LOG10(G2))</f>
        <v>0.3979400086720376</v>
      </c>
      <c r="I2" s="8">
        <f>H2/$B$20</f>
        <v>0.9716037605393899</v>
      </c>
      <c r="J2" s="5">
        <v>2</v>
      </c>
      <c r="K2" s="8">
        <f>C2*(1+LOG10(J2))</f>
        <v>0.51773188775710577</v>
      </c>
      <c r="L2" s="8">
        <f>K2/$B$21</f>
        <v>0.38601926328078495</v>
      </c>
      <c r="M2" s="5">
        <v>0</v>
      </c>
      <c r="N2" s="10">
        <v>0</v>
      </c>
      <c r="O2" s="9">
        <f>N2/$B$22</f>
        <v>0</v>
      </c>
      <c r="P2" s="5">
        <v>1</v>
      </c>
      <c r="Q2" s="8">
        <f>C2*(1+LOG10(P2))</f>
        <v>0.3979400086720376</v>
      </c>
      <c r="R2" s="8">
        <f>Q2/$B$23</f>
        <v>0.31074554114795805</v>
      </c>
      <c r="S2" s="5">
        <v>0</v>
      </c>
      <c r="T2" s="10">
        <v>0</v>
      </c>
      <c r="U2" s="10">
        <f>T2/$B$24</f>
        <v>0</v>
      </c>
      <c r="V2" s="5">
        <v>0</v>
      </c>
      <c r="W2" s="10">
        <v>0</v>
      </c>
      <c r="X2" s="10">
        <f>W2/$B$25</f>
        <v>0</v>
      </c>
    </row>
    <row r="3" spans="1:24" x14ac:dyDescent="0.25">
      <c r="A3" s="2" t="s">
        <v>3</v>
      </c>
      <c r="B3" s="5">
        <v>4</v>
      </c>
      <c r="C3" s="6">
        <f t="shared" ref="C3:C17" si="0">ABS(LOG10(B3/5))</f>
        <v>9.6910013008056392E-2</v>
      </c>
      <c r="D3" s="7">
        <v>1</v>
      </c>
      <c r="E3" s="8">
        <f t="shared" ref="E3:E10" si="1">C3*(1+LOG10(D3))</f>
        <v>9.6910013008056392E-2</v>
      </c>
      <c r="F3" s="8">
        <f>E3/$B$19</f>
        <v>0.11962313428951007</v>
      </c>
      <c r="G3" s="7">
        <v>1</v>
      </c>
      <c r="H3" s="8">
        <f>C3*(1+LOG10(G3))</f>
        <v>9.6910013008056392E-2</v>
      </c>
      <c r="I3" s="8">
        <f t="shared" ref="I3:I17" si="2">H3/$B$20</f>
        <v>0.23661388908032427</v>
      </c>
      <c r="J3" s="5">
        <v>2</v>
      </c>
      <c r="K3" s="8">
        <f t="shared" ref="K3:K17" si="3">C3*(1+LOG10(J3))</f>
        <v>0.12608283380366797</v>
      </c>
      <c r="L3" s="8">
        <f t="shared" ref="L3:L17" si="4">K3/$B$21</f>
        <v>9.4006963388122047E-2</v>
      </c>
      <c r="M3" s="5">
        <v>1</v>
      </c>
      <c r="N3" s="8">
        <f t="shared" ref="N3:N17" si="5">C3*(1+LOG10(M3))</f>
        <v>9.6910013008056392E-2</v>
      </c>
      <c r="O3" s="8">
        <f t="shared" ref="O3:O17" si="6">N3/$B$22</f>
        <v>0.10426581577714361</v>
      </c>
      <c r="P3" s="5">
        <v>2</v>
      </c>
      <c r="Q3" s="8">
        <f t="shared" ref="Q3:Q17" si="7">C3*(1+LOG10(P3))</f>
        <v>0.12608283380366797</v>
      </c>
      <c r="R3" s="8">
        <f t="shared" ref="R3:R17" si="8">Q3/$B$23</f>
        <v>9.8456243569313512E-2</v>
      </c>
      <c r="S3" s="5">
        <v>1</v>
      </c>
      <c r="T3" s="8">
        <f t="shared" ref="T3:T17" si="9">C3*(1+LOG10(S3))</f>
        <v>9.6910013008056392E-2</v>
      </c>
      <c r="U3" s="8">
        <f t="shared" ref="U3:U17" si="10">T3/$B$24</f>
        <v>0.10426581577714361</v>
      </c>
      <c r="V3" s="5">
        <v>0</v>
      </c>
      <c r="W3" s="10">
        <v>0</v>
      </c>
      <c r="X3" s="10">
        <f t="shared" ref="X3:X17" si="11">W3/$B$25</f>
        <v>0</v>
      </c>
    </row>
    <row r="4" spans="1:24" x14ac:dyDescent="0.25">
      <c r="A4" s="2" t="s">
        <v>4</v>
      </c>
      <c r="B4" s="5">
        <v>1</v>
      </c>
      <c r="C4" s="6">
        <f t="shared" si="0"/>
        <v>0.69897000433601875</v>
      </c>
      <c r="D4" s="7">
        <v>0</v>
      </c>
      <c r="E4" s="9">
        <v>0</v>
      </c>
      <c r="F4" s="9">
        <f t="shared" ref="F3:F17" si="12">E4/$B$19</f>
        <v>0</v>
      </c>
      <c r="G4" s="7">
        <v>0</v>
      </c>
      <c r="H4" s="10">
        <v>0</v>
      </c>
      <c r="I4" s="9">
        <f t="shared" si="2"/>
        <v>0</v>
      </c>
      <c r="J4" s="5">
        <v>1</v>
      </c>
      <c r="K4" s="8">
        <f t="shared" si="3"/>
        <v>0.69897000433601875</v>
      </c>
      <c r="L4" s="8">
        <f t="shared" si="4"/>
        <v>0.52114983162045703</v>
      </c>
      <c r="M4" s="5">
        <v>0</v>
      </c>
      <c r="N4" s="10">
        <v>0</v>
      </c>
      <c r="O4" s="9">
        <f t="shared" si="6"/>
        <v>0</v>
      </c>
      <c r="P4" s="5">
        <v>0</v>
      </c>
      <c r="Q4" s="10">
        <v>0</v>
      </c>
      <c r="R4" s="10">
        <f t="shared" si="8"/>
        <v>0</v>
      </c>
      <c r="S4" s="5">
        <v>0</v>
      </c>
      <c r="T4" s="10">
        <v>0</v>
      </c>
      <c r="U4" s="10">
        <f t="shared" si="10"/>
        <v>0</v>
      </c>
      <c r="V4" s="5">
        <v>0</v>
      </c>
      <c r="W4" s="10">
        <v>0</v>
      </c>
      <c r="X4" s="10">
        <f t="shared" si="11"/>
        <v>0</v>
      </c>
    </row>
    <row r="5" spans="1:24" x14ac:dyDescent="0.25">
      <c r="A5" s="2" t="s">
        <v>5</v>
      </c>
      <c r="B5" s="5">
        <v>1</v>
      </c>
      <c r="C5" s="6">
        <f t="shared" si="0"/>
        <v>0.69897000433601875</v>
      </c>
      <c r="D5" s="7">
        <v>0</v>
      </c>
      <c r="E5" s="9">
        <v>0</v>
      </c>
      <c r="F5" s="9">
        <f t="shared" si="12"/>
        <v>0</v>
      </c>
      <c r="G5" s="7">
        <v>0</v>
      </c>
      <c r="H5" s="10">
        <v>0</v>
      </c>
      <c r="I5" s="9">
        <f t="shared" si="2"/>
        <v>0</v>
      </c>
      <c r="J5" s="5">
        <v>1</v>
      </c>
      <c r="K5" s="8">
        <f t="shared" si="3"/>
        <v>0.69897000433601875</v>
      </c>
      <c r="L5" s="8">
        <f t="shared" si="4"/>
        <v>0.52114983162045703</v>
      </c>
      <c r="M5" s="5">
        <v>0</v>
      </c>
      <c r="N5" s="10">
        <v>0</v>
      </c>
      <c r="O5" s="9">
        <f t="shared" si="6"/>
        <v>0</v>
      </c>
      <c r="P5" s="5">
        <v>0</v>
      </c>
      <c r="Q5" s="10">
        <v>0</v>
      </c>
      <c r="R5" s="10">
        <f t="shared" si="8"/>
        <v>0</v>
      </c>
      <c r="S5" s="5">
        <v>0</v>
      </c>
      <c r="T5" s="10">
        <v>0</v>
      </c>
      <c r="U5" s="10">
        <f t="shared" si="10"/>
        <v>0</v>
      </c>
      <c r="V5" s="5">
        <v>0</v>
      </c>
      <c r="W5" s="10">
        <v>0</v>
      </c>
      <c r="X5" s="10">
        <f t="shared" si="11"/>
        <v>0</v>
      </c>
    </row>
    <row r="6" spans="1:24" x14ac:dyDescent="0.25">
      <c r="A6" s="2" t="s">
        <v>13</v>
      </c>
      <c r="B6" s="5">
        <v>3</v>
      </c>
      <c r="C6" s="6">
        <f t="shared" si="0"/>
        <v>0.22184874961635639</v>
      </c>
      <c r="D6" s="7">
        <v>0</v>
      </c>
      <c r="E6" s="9">
        <v>0</v>
      </c>
      <c r="F6" s="9">
        <f t="shared" si="12"/>
        <v>0</v>
      </c>
      <c r="G6" s="7">
        <v>0</v>
      </c>
      <c r="H6" s="10">
        <v>0</v>
      </c>
      <c r="I6" s="9">
        <f t="shared" si="2"/>
        <v>0</v>
      </c>
      <c r="J6" s="5">
        <v>1</v>
      </c>
      <c r="K6" s="8">
        <f t="shared" si="3"/>
        <v>0.22184874961635639</v>
      </c>
      <c r="L6" s="8">
        <f t="shared" si="4"/>
        <v>0.16540972830100487</v>
      </c>
      <c r="M6" s="5">
        <v>1</v>
      </c>
      <c r="N6" s="8">
        <f t="shared" si="5"/>
        <v>0.22184874961635639</v>
      </c>
      <c r="O6" s="8">
        <f t="shared" si="6"/>
        <v>0.23868783152434117</v>
      </c>
      <c r="P6" s="5">
        <v>0</v>
      </c>
      <c r="Q6" s="10">
        <v>0</v>
      </c>
      <c r="R6" s="10">
        <f t="shared" si="8"/>
        <v>0</v>
      </c>
      <c r="S6" s="5">
        <v>1</v>
      </c>
      <c r="T6" s="8">
        <f t="shared" si="9"/>
        <v>0.22184874961635639</v>
      </c>
      <c r="U6" s="8">
        <f t="shared" si="10"/>
        <v>0.23868783152434117</v>
      </c>
      <c r="V6" s="5">
        <v>0</v>
      </c>
      <c r="W6" s="10">
        <v>0</v>
      </c>
      <c r="X6" s="10">
        <f t="shared" si="11"/>
        <v>0</v>
      </c>
    </row>
    <row r="7" spans="1:24" x14ac:dyDescent="0.25">
      <c r="A7" s="2" t="s">
        <v>6</v>
      </c>
      <c r="B7" s="5">
        <v>1</v>
      </c>
      <c r="C7" s="6">
        <f t="shared" si="0"/>
        <v>0.69897000433601875</v>
      </c>
      <c r="D7" s="7">
        <v>0</v>
      </c>
      <c r="E7" s="9">
        <v>0</v>
      </c>
      <c r="F7" s="9">
        <f t="shared" si="12"/>
        <v>0</v>
      </c>
      <c r="G7" s="7">
        <v>0</v>
      </c>
      <c r="H7" s="10">
        <v>0</v>
      </c>
      <c r="I7" s="9">
        <f t="shared" si="2"/>
        <v>0</v>
      </c>
      <c r="J7" s="5">
        <v>1</v>
      </c>
      <c r="K7" s="8">
        <f t="shared" si="3"/>
        <v>0.69897000433601875</v>
      </c>
      <c r="L7" s="8">
        <f t="shared" si="4"/>
        <v>0.52114983162045703</v>
      </c>
      <c r="M7" s="5">
        <v>0</v>
      </c>
      <c r="N7" s="10">
        <v>0</v>
      </c>
      <c r="O7" s="9">
        <f t="shared" si="6"/>
        <v>0</v>
      </c>
      <c r="P7" s="5">
        <v>0</v>
      </c>
      <c r="Q7" s="10">
        <v>0</v>
      </c>
      <c r="R7" s="10">
        <f t="shared" si="8"/>
        <v>0</v>
      </c>
      <c r="S7" s="5">
        <v>0</v>
      </c>
      <c r="T7" s="10">
        <v>0</v>
      </c>
      <c r="U7" s="10">
        <f t="shared" si="10"/>
        <v>0</v>
      </c>
      <c r="V7" s="5">
        <v>0</v>
      </c>
      <c r="W7" s="10">
        <v>0</v>
      </c>
      <c r="X7" s="10">
        <f t="shared" si="11"/>
        <v>0</v>
      </c>
    </row>
    <row r="8" spans="1:24" x14ac:dyDescent="0.25">
      <c r="A8" s="2" t="s">
        <v>7</v>
      </c>
      <c r="B8" s="5">
        <v>2</v>
      </c>
      <c r="C8" s="6">
        <f t="shared" si="0"/>
        <v>0.3979400086720376</v>
      </c>
      <c r="D8" s="7">
        <v>0</v>
      </c>
      <c r="E8" s="9">
        <v>0</v>
      </c>
      <c r="F8" s="9">
        <f t="shared" si="12"/>
        <v>0</v>
      </c>
      <c r="G8" s="7">
        <v>0</v>
      </c>
      <c r="H8" s="10">
        <v>0</v>
      </c>
      <c r="I8" s="9">
        <f t="shared" si="2"/>
        <v>0</v>
      </c>
      <c r="J8" s="5">
        <v>0</v>
      </c>
      <c r="K8" s="10">
        <v>0</v>
      </c>
      <c r="L8" s="10">
        <f t="shared" si="4"/>
        <v>0</v>
      </c>
      <c r="M8" s="5">
        <v>1</v>
      </c>
      <c r="N8" s="8">
        <f t="shared" si="5"/>
        <v>0.3979400086720376</v>
      </c>
      <c r="O8" s="8">
        <f t="shared" si="6"/>
        <v>0.42814502182663311</v>
      </c>
      <c r="P8" s="5">
        <v>0</v>
      </c>
      <c r="Q8" s="10">
        <v>0</v>
      </c>
      <c r="R8" s="10">
        <f t="shared" si="8"/>
        <v>0</v>
      </c>
      <c r="S8" s="5">
        <v>1</v>
      </c>
      <c r="T8" s="8">
        <f t="shared" si="9"/>
        <v>0.3979400086720376</v>
      </c>
      <c r="U8" s="8">
        <f t="shared" si="10"/>
        <v>0.42814502182663311</v>
      </c>
      <c r="V8" s="5">
        <v>0</v>
      </c>
      <c r="W8" s="10">
        <v>0</v>
      </c>
      <c r="X8" s="10">
        <f t="shared" si="11"/>
        <v>0</v>
      </c>
    </row>
    <row r="9" spans="1:24" x14ac:dyDescent="0.25">
      <c r="A9" s="2" t="s">
        <v>14</v>
      </c>
      <c r="B9" s="5">
        <v>2</v>
      </c>
      <c r="C9" s="6">
        <f t="shared" si="0"/>
        <v>0.3979400086720376</v>
      </c>
      <c r="D9" s="7">
        <v>0</v>
      </c>
      <c r="E9" s="9">
        <v>0</v>
      </c>
      <c r="F9" s="9">
        <f t="shared" si="12"/>
        <v>0</v>
      </c>
      <c r="G9" s="7">
        <v>0</v>
      </c>
      <c r="H9" s="10">
        <v>0</v>
      </c>
      <c r="I9" s="9">
        <f t="shared" si="2"/>
        <v>0</v>
      </c>
      <c r="J9" s="5">
        <v>0</v>
      </c>
      <c r="K9" s="10">
        <v>0</v>
      </c>
      <c r="L9" s="10">
        <f t="shared" si="4"/>
        <v>0</v>
      </c>
      <c r="M9" s="5">
        <v>1</v>
      </c>
      <c r="N9" s="8">
        <f t="shared" si="5"/>
        <v>0.3979400086720376</v>
      </c>
      <c r="O9" s="8">
        <f t="shared" si="6"/>
        <v>0.42814502182663311</v>
      </c>
      <c r="P9" s="5">
        <v>0</v>
      </c>
      <c r="Q9" s="10">
        <v>0</v>
      </c>
      <c r="R9" s="10">
        <f t="shared" si="8"/>
        <v>0</v>
      </c>
      <c r="S9" s="5">
        <v>0</v>
      </c>
      <c r="T9" s="10">
        <v>0</v>
      </c>
      <c r="U9" s="10">
        <f t="shared" si="10"/>
        <v>0</v>
      </c>
      <c r="V9" s="5">
        <v>1</v>
      </c>
      <c r="W9" s="8">
        <f t="shared" ref="W3:W17" si="13">C9*(1+LOG10(V9))</f>
        <v>0.3979400086720376</v>
      </c>
      <c r="X9" s="8">
        <f t="shared" si="11"/>
        <v>0.34984759284790812</v>
      </c>
    </row>
    <row r="10" spans="1:24" x14ac:dyDescent="0.25">
      <c r="A10" s="2" t="s">
        <v>8</v>
      </c>
      <c r="B10" s="5">
        <v>1</v>
      </c>
      <c r="C10" s="6">
        <f t="shared" si="0"/>
        <v>0.69897000433601875</v>
      </c>
      <c r="D10" s="7">
        <v>1</v>
      </c>
      <c r="E10" s="8">
        <f t="shared" si="1"/>
        <v>0.69897000433601875</v>
      </c>
      <c r="F10" s="8">
        <f>E10/$B$19</f>
        <v>0.86278992332893445</v>
      </c>
      <c r="G10" s="7">
        <v>0</v>
      </c>
      <c r="H10" s="10">
        <v>0</v>
      </c>
      <c r="I10" s="9">
        <f t="shared" si="2"/>
        <v>0</v>
      </c>
      <c r="J10" s="5">
        <v>0</v>
      </c>
      <c r="K10" s="10">
        <v>0</v>
      </c>
      <c r="L10" s="10">
        <f t="shared" si="4"/>
        <v>0</v>
      </c>
      <c r="M10" s="5">
        <v>1</v>
      </c>
      <c r="N10" s="8">
        <f t="shared" si="5"/>
        <v>0.69897000433601875</v>
      </c>
      <c r="O10" s="8">
        <f t="shared" si="6"/>
        <v>0.75202422787612255</v>
      </c>
      <c r="P10" s="5">
        <v>0</v>
      </c>
      <c r="Q10" s="10">
        <v>0</v>
      </c>
      <c r="R10" s="10">
        <f t="shared" si="8"/>
        <v>0</v>
      </c>
      <c r="S10" s="5">
        <v>0</v>
      </c>
      <c r="T10" s="10">
        <v>0</v>
      </c>
      <c r="U10" s="10">
        <f t="shared" si="10"/>
        <v>0</v>
      </c>
      <c r="V10" s="5">
        <v>0</v>
      </c>
      <c r="W10" s="10">
        <v>0</v>
      </c>
      <c r="X10" s="10">
        <f t="shared" si="11"/>
        <v>0</v>
      </c>
    </row>
    <row r="11" spans="1:24" x14ac:dyDescent="0.25">
      <c r="A11" s="2" t="s">
        <v>15</v>
      </c>
      <c r="B11" s="5">
        <v>1</v>
      </c>
      <c r="C11" s="6">
        <f t="shared" si="0"/>
        <v>0.69897000433601875</v>
      </c>
      <c r="D11" s="7">
        <v>0</v>
      </c>
      <c r="E11" s="9">
        <v>0</v>
      </c>
      <c r="F11" s="9">
        <f t="shared" si="12"/>
        <v>0</v>
      </c>
      <c r="G11" s="7">
        <v>0</v>
      </c>
      <c r="H11" s="10">
        <v>0</v>
      </c>
      <c r="I11" s="9">
        <f t="shared" si="2"/>
        <v>0</v>
      </c>
      <c r="J11" s="5">
        <v>0</v>
      </c>
      <c r="K11" s="10">
        <v>0</v>
      </c>
      <c r="L11" s="10">
        <f t="shared" si="4"/>
        <v>0</v>
      </c>
      <c r="M11" s="5">
        <v>0</v>
      </c>
      <c r="N11" s="10">
        <v>0</v>
      </c>
      <c r="O11" s="9">
        <f t="shared" si="6"/>
        <v>0</v>
      </c>
      <c r="P11" s="5">
        <v>1</v>
      </c>
      <c r="Q11" s="8">
        <f t="shared" si="7"/>
        <v>0.69897000433601875</v>
      </c>
      <c r="R11" s="8">
        <f t="shared" si="8"/>
        <v>0.54581546843809237</v>
      </c>
      <c r="S11" s="5">
        <v>0</v>
      </c>
      <c r="T11" s="10">
        <v>0</v>
      </c>
      <c r="U11" s="10">
        <f t="shared" si="10"/>
        <v>0</v>
      </c>
      <c r="V11" s="5">
        <v>0</v>
      </c>
      <c r="W11" s="10">
        <v>0</v>
      </c>
      <c r="X11" s="10">
        <f t="shared" si="11"/>
        <v>0</v>
      </c>
    </row>
    <row r="12" spans="1:24" x14ac:dyDescent="0.25">
      <c r="A12" s="2" t="s">
        <v>9</v>
      </c>
      <c r="B12" s="5">
        <v>1</v>
      </c>
      <c r="C12" s="6">
        <f t="shared" si="0"/>
        <v>0.69897000433601875</v>
      </c>
      <c r="D12" s="7">
        <v>0</v>
      </c>
      <c r="E12" s="9">
        <v>0</v>
      </c>
      <c r="F12" s="9">
        <f t="shared" si="12"/>
        <v>0</v>
      </c>
      <c r="G12" s="7">
        <v>0</v>
      </c>
      <c r="H12" s="10">
        <v>0</v>
      </c>
      <c r="I12" s="9">
        <f t="shared" si="2"/>
        <v>0</v>
      </c>
      <c r="J12" s="5">
        <v>0</v>
      </c>
      <c r="K12" s="10">
        <v>0</v>
      </c>
      <c r="L12" s="10">
        <f t="shared" si="4"/>
        <v>0</v>
      </c>
      <c r="M12" s="5">
        <v>0</v>
      </c>
      <c r="N12" s="10">
        <v>0</v>
      </c>
      <c r="O12" s="9">
        <f t="shared" si="6"/>
        <v>0</v>
      </c>
      <c r="P12" s="5">
        <v>1</v>
      </c>
      <c r="Q12" s="8">
        <f t="shared" si="7"/>
        <v>0.69897000433601875</v>
      </c>
      <c r="R12" s="8">
        <f t="shared" si="8"/>
        <v>0.54581546843809237</v>
      </c>
      <c r="S12" s="5">
        <v>0</v>
      </c>
      <c r="T12" s="10">
        <v>0</v>
      </c>
      <c r="U12" s="10">
        <f t="shared" si="10"/>
        <v>0</v>
      </c>
      <c r="V12" s="5">
        <v>0</v>
      </c>
      <c r="W12" s="10">
        <v>0</v>
      </c>
      <c r="X12" s="10">
        <f t="shared" si="11"/>
        <v>0</v>
      </c>
    </row>
    <row r="13" spans="1:24" x14ac:dyDescent="0.25">
      <c r="A13" s="2" t="s">
        <v>10</v>
      </c>
      <c r="B13" s="5">
        <v>1</v>
      </c>
      <c r="C13" s="6">
        <f t="shared" si="0"/>
        <v>0.69897000433601875</v>
      </c>
      <c r="D13" s="7">
        <v>0</v>
      </c>
      <c r="E13" s="9">
        <v>0</v>
      </c>
      <c r="F13" s="9">
        <f t="shared" si="12"/>
        <v>0</v>
      </c>
      <c r="G13" s="7">
        <v>0</v>
      </c>
      <c r="H13" s="10">
        <v>0</v>
      </c>
      <c r="I13" s="9">
        <f t="shared" si="2"/>
        <v>0</v>
      </c>
      <c r="J13" s="5">
        <v>0</v>
      </c>
      <c r="K13" s="10">
        <v>0</v>
      </c>
      <c r="L13" s="10">
        <f t="shared" si="4"/>
        <v>0</v>
      </c>
      <c r="M13" s="5">
        <v>0</v>
      </c>
      <c r="N13" s="10">
        <v>0</v>
      </c>
      <c r="O13" s="9">
        <f t="shared" si="6"/>
        <v>0</v>
      </c>
      <c r="P13" s="5">
        <v>1</v>
      </c>
      <c r="Q13" s="8">
        <f t="shared" si="7"/>
        <v>0.69897000433601875</v>
      </c>
      <c r="R13" s="8">
        <f t="shared" si="8"/>
        <v>0.54581546843809237</v>
      </c>
      <c r="S13" s="5">
        <v>0</v>
      </c>
      <c r="T13" s="10">
        <v>0</v>
      </c>
      <c r="U13" s="10">
        <f t="shared" si="10"/>
        <v>0</v>
      </c>
      <c r="V13" s="5">
        <v>0</v>
      </c>
      <c r="W13" s="10">
        <v>0</v>
      </c>
      <c r="X13" s="10">
        <f t="shared" si="11"/>
        <v>0</v>
      </c>
    </row>
    <row r="14" spans="1:24" x14ac:dyDescent="0.25">
      <c r="A14" s="2" t="s">
        <v>16</v>
      </c>
      <c r="B14" s="5">
        <v>1</v>
      </c>
      <c r="C14" s="6">
        <f t="shared" si="0"/>
        <v>0.69897000433601875</v>
      </c>
      <c r="D14" s="7">
        <v>0</v>
      </c>
      <c r="E14" s="9">
        <v>0</v>
      </c>
      <c r="F14" s="9">
        <f t="shared" si="12"/>
        <v>0</v>
      </c>
      <c r="G14" s="7">
        <v>0</v>
      </c>
      <c r="H14" s="10">
        <v>0</v>
      </c>
      <c r="I14" s="9">
        <f t="shared" si="2"/>
        <v>0</v>
      </c>
      <c r="J14" s="5">
        <v>0</v>
      </c>
      <c r="K14" s="10">
        <v>0</v>
      </c>
      <c r="L14" s="10">
        <f t="shared" si="4"/>
        <v>0</v>
      </c>
      <c r="M14" s="5">
        <v>0</v>
      </c>
      <c r="N14" s="10">
        <v>0</v>
      </c>
      <c r="O14" s="9">
        <f t="shared" si="6"/>
        <v>0</v>
      </c>
      <c r="P14" s="5">
        <v>0</v>
      </c>
      <c r="Q14" s="10">
        <v>0</v>
      </c>
      <c r="R14" s="10">
        <f t="shared" si="8"/>
        <v>0</v>
      </c>
      <c r="S14" s="5">
        <v>1</v>
      </c>
      <c r="T14" s="8">
        <f t="shared" si="9"/>
        <v>0.69897000433601875</v>
      </c>
      <c r="U14" s="8">
        <f t="shared" si="10"/>
        <v>0.75202422787612255</v>
      </c>
      <c r="V14" s="5">
        <v>0</v>
      </c>
      <c r="W14" s="10">
        <v>0</v>
      </c>
      <c r="X14" s="10">
        <f t="shared" si="11"/>
        <v>0</v>
      </c>
    </row>
    <row r="15" spans="1:24" x14ac:dyDescent="0.25">
      <c r="A15" s="2" t="s">
        <v>17</v>
      </c>
      <c r="B15" s="5">
        <v>2</v>
      </c>
      <c r="C15" s="6">
        <f t="shared" si="0"/>
        <v>0.3979400086720376</v>
      </c>
      <c r="D15" s="7">
        <v>0</v>
      </c>
      <c r="E15" s="9">
        <v>0</v>
      </c>
      <c r="F15" s="9">
        <f t="shared" si="12"/>
        <v>0</v>
      </c>
      <c r="G15" s="7">
        <v>0</v>
      </c>
      <c r="H15" s="10">
        <v>0</v>
      </c>
      <c r="I15" s="9">
        <f t="shared" si="2"/>
        <v>0</v>
      </c>
      <c r="J15" s="5">
        <v>0</v>
      </c>
      <c r="K15" s="10">
        <v>0</v>
      </c>
      <c r="L15" s="10">
        <f t="shared" si="4"/>
        <v>0</v>
      </c>
      <c r="M15" s="5">
        <v>0</v>
      </c>
      <c r="N15" s="10">
        <v>0</v>
      </c>
      <c r="O15" s="9">
        <f t="shared" si="6"/>
        <v>0</v>
      </c>
      <c r="P15" s="5">
        <v>0</v>
      </c>
      <c r="Q15" s="10">
        <v>0</v>
      </c>
      <c r="R15" s="10">
        <f t="shared" si="8"/>
        <v>0</v>
      </c>
      <c r="S15" s="5">
        <v>1</v>
      </c>
      <c r="T15" s="8">
        <f t="shared" si="9"/>
        <v>0.3979400086720376</v>
      </c>
      <c r="U15" s="8">
        <f t="shared" si="10"/>
        <v>0.42814502182663311</v>
      </c>
      <c r="V15" s="5">
        <v>1</v>
      </c>
      <c r="W15" s="8">
        <f t="shared" si="13"/>
        <v>0.3979400086720376</v>
      </c>
      <c r="X15" s="8">
        <f t="shared" si="11"/>
        <v>0.34984759284790812</v>
      </c>
    </row>
    <row r="16" spans="1:24" x14ac:dyDescent="0.25">
      <c r="A16" s="2" t="s">
        <v>18</v>
      </c>
      <c r="B16" s="5">
        <v>1</v>
      </c>
      <c r="C16" s="6">
        <f t="shared" si="0"/>
        <v>0.69897000433601875</v>
      </c>
      <c r="D16" s="7">
        <v>0</v>
      </c>
      <c r="E16" s="9">
        <v>0</v>
      </c>
      <c r="F16" s="9">
        <f t="shared" si="12"/>
        <v>0</v>
      </c>
      <c r="G16" s="7">
        <v>0</v>
      </c>
      <c r="H16" s="10">
        <v>0</v>
      </c>
      <c r="I16" s="9">
        <f t="shared" si="2"/>
        <v>0</v>
      </c>
      <c r="J16" s="5">
        <v>0</v>
      </c>
      <c r="K16" s="10">
        <v>0</v>
      </c>
      <c r="L16" s="10">
        <f t="shared" si="4"/>
        <v>0</v>
      </c>
      <c r="M16" s="5">
        <v>0</v>
      </c>
      <c r="N16" s="10">
        <v>0</v>
      </c>
      <c r="O16" s="9">
        <f t="shared" si="6"/>
        <v>0</v>
      </c>
      <c r="P16" s="5">
        <v>0</v>
      </c>
      <c r="Q16" s="10">
        <v>0</v>
      </c>
      <c r="R16" s="10">
        <f t="shared" si="8"/>
        <v>0</v>
      </c>
      <c r="S16" s="5">
        <v>0</v>
      </c>
      <c r="T16" s="10">
        <v>0</v>
      </c>
      <c r="U16" s="10">
        <f t="shared" si="10"/>
        <v>0</v>
      </c>
      <c r="V16" s="5">
        <v>1</v>
      </c>
      <c r="W16" s="8">
        <f t="shared" si="13"/>
        <v>0.69897000433601875</v>
      </c>
      <c r="X16" s="8">
        <f t="shared" si="11"/>
        <v>0.61449708036615136</v>
      </c>
    </row>
    <row r="17" spans="1:24" x14ac:dyDescent="0.25">
      <c r="A17" s="2" t="s">
        <v>11</v>
      </c>
      <c r="B17" s="5">
        <v>1</v>
      </c>
      <c r="C17" s="6">
        <f t="shared" si="0"/>
        <v>0.69897000433601875</v>
      </c>
      <c r="D17" s="7">
        <v>0</v>
      </c>
      <c r="E17" s="9">
        <v>0</v>
      </c>
      <c r="F17" s="9">
        <f t="shared" si="12"/>
        <v>0</v>
      </c>
      <c r="G17" s="7">
        <v>0</v>
      </c>
      <c r="H17" s="10">
        <v>0</v>
      </c>
      <c r="I17" s="9">
        <f t="shared" si="2"/>
        <v>0</v>
      </c>
      <c r="J17" s="5">
        <v>0</v>
      </c>
      <c r="K17" s="10">
        <v>0</v>
      </c>
      <c r="L17" s="10">
        <f t="shared" si="4"/>
        <v>0</v>
      </c>
      <c r="M17" s="5">
        <v>0</v>
      </c>
      <c r="N17" s="10">
        <v>0</v>
      </c>
      <c r="O17" s="9">
        <f t="shared" si="6"/>
        <v>0</v>
      </c>
      <c r="P17" s="5">
        <v>0</v>
      </c>
      <c r="Q17" s="10">
        <v>0</v>
      </c>
      <c r="R17" s="10">
        <f t="shared" si="8"/>
        <v>0</v>
      </c>
      <c r="S17" s="5">
        <v>0</v>
      </c>
      <c r="T17" s="10">
        <v>0</v>
      </c>
      <c r="U17" s="10">
        <f t="shared" si="10"/>
        <v>0</v>
      </c>
      <c r="V17" s="5">
        <v>1</v>
      </c>
      <c r="W17" s="8">
        <f t="shared" si="13"/>
        <v>0.69897000433601875</v>
      </c>
      <c r="X17" s="8">
        <f t="shared" si="11"/>
        <v>0.61449708036615136</v>
      </c>
    </row>
    <row r="19" spans="1:24" x14ac:dyDescent="0.25">
      <c r="A19" s="11" t="s">
        <v>28</v>
      </c>
      <c r="B19" s="1">
        <f>SQRT(SUMPRODUCT(E2:E17, E2:E17))</f>
        <v>0.81012768628446286</v>
      </c>
      <c r="E19" t="s">
        <v>40</v>
      </c>
      <c r="F19" s="12">
        <f>(F2*L2)+(F3*L3)</f>
        <v>0.20086058997517403</v>
      </c>
      <c r="G19" t="s">
        <v>45</v>
      </c>
      <c r="H19" s="1">
        <f>I2*L2+I3*L3</f>
        <v>0.39730112105215071</v>
      </c>
    </row>
    <row r="20" spans="1:24" x14ac:dyDescent="0.25">
      <c r="A20" s="11" t="s">
        <v>29</v>
      </c>
      <c r="B20" s="1">
        <f>SQRT(SUMPRODUCT(H2:H17, H2:H17))</f>
        <v>0.40957026396349017</v>
      </c>
      <c r="E20" t="s">
        <v>41</v>
      </c>
      <c r="F20" s="1">
        <f>F3*O3+F10*O10</f>
        <v>0.66131152959325545</v>
      </c>
      <c r="G20" t="s">
        <v>46</v>
      </c>
      <c r="H20" s="1">
        <f>I2*O2+I3*O3</f>
        <v>2.4670740169162583E-2</v>
      </c>
    </row>
    <row r="21" spans="1:24" x14ac:dyDescent="0.25">
      <c r="A21" s="11" t="s">
        <v>32</v>
      </c>
      <c r="B21" s="1">
        <f>SQRT(SUMPRODUCT(K2:K17, K2:K17))</f>
        <v>1.3412073878305781</v>
      </c>
      <c r="E21" t="s">
        <v>42</v>
      </c>
      <c r="F21" s="1">
        <f>F2*R2+F3*R3+F10*R10</f>
        <v>0.16441788305636451</v>
      </c>
      <c r="G21" t="s">
        <v>47</v>
      </c>
      <c r="H21" s="1">
        <f>I2*R2+I3*R3</f>
        <v>0.3252176510453787</v>
      </c>
    </row>
    <row r="22" spans="1:24" x14ac:dyDescent="0.25">
      <c r="A22" s="11" t="s">
        <v>31</v>
      </c>
      <c r="B22" s="1">
        <f>SQRT(SUMPRODUCT(N2:N17, N2:N17))</f>
        <v>0.92945144375209787</v>
      </c>
      <c r="E22" t="s">
        <v>43</v>
      </c>
      <c r="F22" s="1">
        <f>F2*U2+F3*U3+F10*U10</f>
        <v>1.2472603682514568E-2</v>
      </c>
      <c r="G22" t="s">
        <v>48</v>
      </c>
      <c r="H22" s="1">
        <f>I2*U2+I3*U3</f>
        <v>2.4670740169162583E-2</v>
      </c>
    </row>
    <row r="23" spans="1:24" x14ac:dyDescent="0.25">
      <c r="A23" s="11" t="s">
        <v>35</v>
      </c>
      <c r="B23" s="1">
        <f>SQRT(SUMPRODUCT(Q2:Q17, Q2:Q17))</f>
        <v>1.2805976465566173</v>
      </c>
      <c r="E23" t="s">
        <v>44</v>
      </c>
      <c r="F23">
        <f>F2*X2+F3*X3+F10*X10</f>
        <v>0</v>
      </c>
      <c r="G23" t="s">
        <v>49</v>
      </c>
      <c r="H23">
        <f>I2*X2+I3*X3</f>
        <v>0</v>
      </c>
    </row>
    <row r="24" spans="1:24" x14ac:dyDescent="0.25">
      <c r="A24" s="11" t="s">
        <v>37</v>
      </c>
      <c r="B24" s="1">
        <f>SQRT(SUMPRODUCT(T2:T17, T2:T17))</f>
        <v>0.92945144375209787</v>
      </c>
    </row>
    <row r="25" spans="1:24" x14ac:dyDescent="0.25">
      <c r="A25" s="11" t="s">
        <v>39</v>
      </c>
      <c r="B25" s="1">
        <f>SQRT(SUMPRODUCT(W2:W17, W2:W17))</f>
        <v>1.1374667621195755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Reich</dc:creator>
  <cp:lastModifiedBy>Martin Reich</cp:lastModifiedBy>
  <dcterms:created xsi:type="dcterms:W3CDTF">2026-03-10T11:41:37Z</dcterms:created>
  <dcterms:modified xsi:type="dcterms:W3CDTF">2026-03-10T12:44:36Z</dcterms:modified>
</cp:coreProperties>
</file>